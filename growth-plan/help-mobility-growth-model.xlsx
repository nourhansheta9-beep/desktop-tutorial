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Bridge" sheetId="2" state="visible" r:id="rId2"/>
    <sheet name="H2_Ramp" sheetId="3" state="visible" r:id="rId3"/>
    <sheet name="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0&quot;x&quot;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555555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164" fontId="0" fillId="3" borderId="0" pivotButton="0" quotePrefix="0" xfId="0"/>
    <xf numFmtId="0" fontId="2" fillId="5" borderId="1" pivotButton="0" quotePrefix="0" xfId="0"/>
    <xf numFmtId="164" fontId="0" fillId="3" borderId="1" pivotButton="0" quotePrefix="0" xfId="0"/>
    <xf numFmtId="1" fontId="0" fillId="3" borderId="1" pivotButton="0" quotePrefix="0" xfId="0"/>
    <xf numFmtId="9" fontId="0" fillId="3" borderId="1" pivotButton="0" quotePrefix="0" xfId="0"/>
    <xf numFmtId="0" fontId="4" fillId="4" borderId="1" pivotButton="0" quotePrefix="0" xfId="0"/>
    <xf numFmtId="164" fontId="0" fillId="0" borderId="1" pivotButton="0" quotePrefix="0" xfId="0"/>
    <xf numFmtId="164" fontId="2" fillId="5" borderId="0" pivotButton="0" quotePrefix="0" xfId="0"/>
    <xf numFmtId="164" fontId="0" fillId="0" borderId="0" pivotButton="0" quotePrefix="0" xfId="0"/>
    <xf numFmtId="164" fontId="2" fillId="6" borderId="0" pivotButton="0" quotePrefix="0" xfId="0"/>
    <xf numFmtId="165" fontId="2" fillId="6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4" customHeight="1">
      <c r="A1" s="1" t="inlineStr">
        <is>
          <t>Help Mobility — H2 2026 Growth Model  •  INPUTS (edit the blue cells)</t>
        </is>
      </c>
    </row>
    <row r="3">
      <c r="A3" s="2" t="inlineStr">
        <is>
          <t>Baseline monthly revenue</t>
        </is>
      </c>
      <c r="B3" s="3" t="n">
        <v>100000</v>
      </c>
      <c r="C3" s="4">
        <f> direct sales + technical support + sales services + rental renewals (measured streams)</f>
        <v/>
      </c>
    </row>
    <row r="4">
      <c r="A4" s="4" t="inlineStr">
        <is>
          <t>Note: if $100k is PER stream (~$400k/mo), scale targets up ~4x. B2B + outside sales are additional and not yet measured.</t>
        </is>
      </c>
    </row>
    <row r="6">
      <c r="A6" s="5" t="inlineStr">
        <is>
          <t>AVERAGE VALUES (editable)</t>
        </is>
      </c>
    </row>
    <row r="7">
      <c r="A7" t="inlineStr">
        <is>
          <t>Avg insurance (AOB) deal value</t>
        </is>
      </c>
      <c r="B7" s="6" t="n">
        <v>1800</v>
      </c>
    </row>
    <row r="8">
      <c r="A8" t="inlineStr">
        <is>
          <t>Avg WSIB / VAC / NIHB deal value</t>
        </is>
      </c>
      <c r="B8" s="6" t="n">
        <v>2000</v>
      </c>
    </row>
    <row r="9">
      <c r="A9" t="inlineStr">
        <is>
          <t>Avg HVMP / Renovates accessibility job</t>
        </is>
      </c>
      <c r="B9" s="6" t="n">
        <v>6000</v>
      </c>
    </row>
    <row r="10">
      <c r="A10" t="inlineStr">
        <is>
          <t>Avg rental revenue per unit / month</t>
        </is>
      </c>
      <c r="B10" s="6" t="n">
        <v>250</v>
      </c>
    </row>
    <row r="11">
      <c r="A11" t="inlineStr">
        <is>
          <t>Avg recurring (resupply / PM) per account / month</t>
        </is>
      </c>
      <c r="B11" s="6" t="n">
        <v>120</v>
      </c>
    </row>
    <row r="13">
      <c r="A13" s="5" t="inlineStr">
        <is>
          <t>LEVER DRIVERS — monthly, at full H2 run-rate</t>
        </is>
      </c>
    </row>
    <row r="14">
      <c r="A14" s="7" t="inlineStr">
        <is>
          <t>Lever / driver</t>
        </is>
      </c>
      <c r="B14" s="7" t="inlineStr"/>
      <c r="C14" s="7" t="inlineStr">
        <is>
          <t>Conservative</t>
        </is>
      </c>
      <c r="D14" s="7" t="inlineStr">
        <is>
          <t>Base</t>
        </is>
      </c>
      <c r="E14" s="7" t="inlineStr">
        <is>
          <t>Stretch</t>
        </is>
      </c>
    </row>
    <row r="15">
      <c r="A15" t="inlineStr">
        <is>
          <t>ODSP 100% conversion uplift ($/mo, direct)</t>
        </is>
      </c>
      <c r="B15" s="4" t="inlineStr">
        <is>
          <t>$/mo</t>
        </is>
      </c>
      <c r="C15" s="8" t="n">
        <v>1500</v>
      </c>
      <c r="D15" s="8" t="n">
        <v>3000</v>
      </c>
      <c r="E15" s="8" t="n">
        <v>5000</v>
      </c>
    </row>
    <row r="16">
      <c r="A16" t="inlineStr">
        <is>
          <t>Insurance AOB — new deals / month</t>
        </is>
      </c>
      <c r="B16" s="4" t="inlineStr">
        <is>
          <t>deals</t>
        </is>
      </c>
      <c r="C16" s="9" t="n">
        <v>5</v>
      </c>
      <c r="D16" s="9" t="n">
        <v>10</v>
      </c>
      <c r="E16" s="9" t="n">
        <v>22</v>
      </c>
    </row>
    <row r="17">
      <c r="A17" t="inlineStr">
        <is>
          <t>WSIB / VAC / NIHB — new deals / month</t>
        </is>
      </c>
      <c r="B17" s="4" t="inlineStr">
        <is>
          <t>deals</t>
        </is>
      </c>
      <c r="C17" s="9" t="n">
        <v>3</v>
      </c>
      <c r="D17" s="9" t="n">
        <v>7</v>
      </c>
      <c r="E17" s="9" t="n">
        <v>12</v>
      </c>
    </row>
    <row r="18">
      <c r="A18" t="inlineStr">
        <is>
          <t>HVMP / Renovates accessibility jobs / month</t>
        </is>
      </c>
      <c r="B18" s="4" t="inlineStr">
        <is>
          <t>jobs</t>
        </is>
      </c>
      <c r="C18" s="9" t="n">
        <v>2</v>
      </c>
      <c r="D18" s="9" t="n">
        <v>5</v>
      </c>
      <c r="E18" s="9" t="n">
        <v>12</v>
      </c>
    </row>
    <row r="19">
      <c r="A19" t="inlineStr">
        <is>
          <t>Hospital-at-Home — active rental units</t>
        </is>
      </c>
      <c r="B19" s="4" t="inlineStr">
        <is>
          <t>units</t>
        </is>
      </c>
      <c r="C19" s="9" t="n">
        <v>15</v>
      </c>
      <c r="D19" s="9" t="n">
        <v>35</v>
      </c>
      <c r="E19" s="9" t="n">
        <v>75</v>
      </c>
    </row>
    <row r="20">
      <c r="A20" t="inlineStr">
        <is>
          <t>Recurring accounts (resupply/PM/reactivation)</t>
        </is>
      </c>
      <c r="B20" s="4" t="inlineStr">
        <is>
          <t>accounts</t>
        </is>
      </c>
      <c r="C20" s="9" t="n">
        <v>40</v>
      </c>
      <c r="D20" s="9" t="n">
        <v>90</v>
      </c>
      <c r="E20" s="9" t="n">
        <v>150</v>
      </c>
    </row>
    <row r="21">
      <c r="A21" t="inlineStr">
        <is>
          <t>Referral engine uplift (% of baseline)</t>
        </is>
      </c>
      <c r="B21" s="4" t="inlineStr">
        <is>
          <t>%</t>
        </is>
      </c>
      <c r="C21" s="10" t="n">
        <v>0.08</v>
      </c>
      <c r="D21" s="10" t="n">
        <v>0.15</v>
      </c>
      <c r="E21" s="10" t="n">
        <v>0.25</v>
      </c>
    </row>
  </sheetData>
  <mergeCells count="4">
    <mergeCell ref="A6:B6"/>
    <mergeCell ref="A1:E1"/>
    <mergeCell ref="A4:E4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 ht="24" customHeight="1">
      <c r="A1" s="1" t="inlineStr">
        <is>
          <t>Revenue Bridge  •  baseline → target (formulas; recompute when you edit Inputs)</t>
        </is>
      </c>
    </row>
    <row r="3">
      <c r="A3" s="11" t="inlineStr">
        <is>
          <t>Lever</t>
        </is>
      </c>
      <c r="B3" s="11" t="inlineStr">
        <is>
          <t>Conservative</t>
        </is>
      </c>
      <c r="C3" s="11" t="inlineStr">
        <is>
          <t>Base</t>
        </is>
      </c>
      <c r="D3" s="11" t="inlineStr">
        <is>
          <t>Stretch</t>
        </is>
      </c>
    </row>
    <row r="4">
      <c r="A4" t="inlineStr">
        <is>
          <t>ODSP 100% conversion</t>
        </is>
      </c>
      <c r="B4" s="12">
        <f>Inputs!C15</f>
        <v/>
      </c>
      <c r="C4" s="12">
        <f>Inputs!D15</f>
        <v/>
      </c>
      <c r="D4" s="12">
        <f>Inputs!E15</f>
        <v/>
      </c>
    </row>
    <row r="5">
      <c r="A5" t="inlineStr">
        <is>
          <t>Insurance AOB (new payers)</t>
        </is>
      </c>
      <c r="B5" s="12">
        <f>Inputs!C16*Inputs!$B$7</f>
        <v/>
      </c>
      <c r="C5" s="12">
        <f>Inputs!D16*Inputs!$B$7</f>
        <v/>
      </c>
      <c r="D5" s="12">
        <f>Inputs!E16*Inputs!$B$7</f>
        <v/>
      </c>
    </row>
    <row r="6">
      <c r="A6" t="inlineStr">
        <is>
          <t>WSIB / VAC / NIHB</t>
        </is>
      </c>
      <c r="B6" s="12">
        <f>Inputs!C17*Inputs!$B$8</f>
        <v/>
      </c>
      <c r="C6" s="12">
        <f>Inputs!D17*Inputs!$B$8</f>
        <v/>
      </c>
      <c r="D6" s="12">
        <f>Inputs!E17*Inputs!$B$8</f>
        <v/>
      </c>
    </row>
    <row r="7">
      <c r="A7" t="inlineStr">
        <is>
          <t>HVMP / Renovates (accessibility &amp; mods)</t>
        </is>
      </c>
      <c r="B7" s="12">
        <f>Inputs!C18*Inputs!$B$9</f>
        <v/>
      </c>
      <c r="C7" s="12">
        <f>Inputs!D18*Inputs!$B$9</f>
        <v/>
      </c>
      <c r="D7" s="12">
        <f>Inputs!E18*Inputs!$B$9</f>
        <v/>
      </c>
    </row>
    <row r="8">
      <c r="A8" t="inlineStr">
        <is>
          <t>Hospital-at-Home rentals</t>
        </is>
      </c>
      <c r="B8" s="12">
        <f>Inputs!C19*Inputs!$B$10</f>
        <v/>
      </c>
      <c r="C8" s="12">
        <f>Inputs!D19*Inputs!$B$10</f>
        <v/>
      </c>
      <c r="D8" s="12">
        <f>Inputs!E19*Inputs!$B$10</f>
        <v/>
      </c>
    </row>
    <row r="9">
      <c r="A9" t="inlineStr">
        <is>
          <t>Recurring (resupply / PM / reactivation)</t>
        </is>
      </c>
      <c r="B9" s="12">
        <f>Inputs!C20*Inputs!$B$11</f>
        <v/>
      </c>
      <c r="C9" s="12">
        <f>Inputs!D20*Inputs!$B$11</f>
        <v/>
      </c>
      <c r="D9" s="12">
        <f>Inputs!E20*Inputs!$B$11</f>
        <v/>
      </c>
    </row>
    <row r="10">
      <c r="A10" t="inlineStr">
        <is>
          <t>Referral engine uplift</t>
        </is>
      </c>
      <c r="B10" s="12">
        <f>Inputs!C21*Inputs!$B$3</f>
        <v/>
      </c>
      <c r="C10" s="12">
        <f>Inputs!D21*Inputs!$B$3</f>
        <v/>
      </c>
      <c r="D10" s="12">
        <f>Inputs!E21*Inputs!$B$3</f>
        <v/>
      </c>
    </row>
    <row r="11">
      <c r="A11" s="2" t="inlineStr">
        <is>
          <t>Total incremental / month</t>
        </is>
      </c>
      <c r="B11" s="13">
        <f>SUM(B4:B10)</f>
        <v/>
      </c>
      <c r="C11" s="13">
        <f>SUM(C4:C10)</f>
        <v/>
      </c>
      <c r="D11" s="13">
        <f>SUM(D4:D10)</f>
        <v/>
      </c>
    </row>
    <row r="12">
      <c r="A12" t="inlineStr">
        <is>
          <t>Baseline / month</t>
        </is>
      </c>
      <c r="B12" s="14">
        <f>Inputs!$B$3</f>
        <v/>
      </c>
      <c r="C12" s="14">
        <f>Inputs!$B$3</f>
        <v/>
      </c>
      <c r="D12" s="14">
        <f>Inputs!$B$3</f>
        <v/>
      </c>
    </row>
    <row r="13">
      <c r="A13" s="2" t="inlineStr">
        <is>
          <t>TARGET monthly revenue</t>
        </is>
      </c>
      <c r="B13" s="15">
        <f>B11+B12</f>
        <v/>
      </c>
      <c r="C13" s="15">
        <f>C11+C12</f>
        <v/>
      </c>
      <c r="D13" s="15">
        <f>D11+D12</f>
        <v/>
      </c>
    </row>
    <row r="14">
      <c r="A14" s="2" t="inlineStr">
        <is>
          <t>× of baseline</t>
        </is>
      </c>
      <c r="B14" s="16">
        <f>B13/B12</f>
        <v/>
      </c>
      <c r="C14" s="16">
        <f>C13/C12</f>
        <v/>
      </c>
      <c r="D14" s="16">
        <f>D13/D12</f>
        <v/>
      </c>
    </row>
    <row r="15">
      <c r="A15" t="inlineStr">
        <is>
          <t>Annualized run-rate (×12)</t>
        </is>
      </c>
      <c r="B15" s="14">
        <f>B13*12</f>
        <v/>
      </c>
      <c r="C15" s="14">
        <f>C13*12</f>
        <v/>
      </c>
      <c r="D15" s="14">
        <f>D13*12</f>
        <v/>
      </c>
    </row>
    <row r="17">
      <c r="A17" s="4" t="inlineStr">
        <is>
          <t>Base case ~2.0x, Stretch ~3.0x on the measured streams. B2B + outside sales add on top.</t>
        </is>
      </c>
    </row>
  </sheetData>
  <mergeCells count="2">
    <mergeCell ref="A17:D17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 ht="24" customHeight="1">
      <c r="A1" s="1" t="inlineStr">
        <is>
          <t>H2 2026 Monthly Ramp (Base scenario)  •  the path from 1x to ~2x run-rate</t>
        </is>
      </c>
    </row>
    <row r="3">
      <c r="A3" s="11" t="inlineStr">
        <is>
          <t>Month</t>
        </is>
      </c>
      <c r="B3" s="11" t="inlineStr">
        <is>
          <t>Ramp % of full run-rate</t>
        </is>
      </c>
      <c r="C3" s="11" t="inlineStr">
        <is>
          <t>Modeled monthly revenue</t>
        </is>
      </c>
    </row>
    <row r="4">
      <c r="A4" t="inlineStr">
        <is>
          <t>Jul</t>
        </is>
      </c>
      <c r="B4" s="10" t="n">
        <v>0.1</v>
      </c>
      <c r="C4" s="12">
        <f>Bridge!$C$12+Bridge!$C$11*B4</f>
        <v/>
      </c>
    </row>
    <row r="5">
      <c r="A5" t="inlineStr">
        <is>
          <t>Aug</t>
        </is>
      </c>
      <c r="B5" s="10" t="n">
        <v>0.25</v>
      </c>
      <c r="C5" s="12">
        <f>Bridge!$C$12+Bridge!$C$11*B5</f>
        <v/>
      </c>
    </row>
    <row r="6">
      <c r="A6" t="inlineStr">
        <is>
          <t>Sep</t>
        </is>
      </c>
      <c r="B6" s="10" t="n">
        <v>0.45</v>
      </c>
      <c r="C6" s="12">
        <f>Bridge!$C$12+Bridge!$C$11*B6</f>
        <v/>
      </c>
    </row>
    <row r="7">
      <c r="A7" t="inlineStr">
        <is>
          <t>Oct</t>
        </is>
      </c>
      <c r="B7" s="10" t="n">
        <v>0.65</v>
      </c>
      <c r="C7" s="12">
        <f>Bridge!$C$12+Bridge!$C$11*B7</f>
        <v/>
      </c>
    </row>
    <row r="8">
      <c r="A8" t="inlineStr">
        <is>
          <t>Nov</t>
        </is>
      </c>
      <c r="B8" s="10" t="n">
        <v>0.85</v>
      </c>
      <c r="C8" s="12">
        <f>Bridge!$C$12+Bridge!$C$11*B8</f>
        <v/>
      </c>
    </row>
    <row r="9">
      <c r="A9" t="inlineStr">
        <is>
          <t>Dec</t>
        </is>
      </c>
      <c r="B9" s="10" t="n">
        <v>1</v>
      </c>
      <c r="C9" s="12">
        <f>Bridge!$C$12+Bridge!$C$11*B9</f>
        <v/>
      </c>
    </row>
    <row r="10">
      <c r="A10" s="2" t="inlineStr">
        <is>
          <t>H2 total revenue</t>
        </is>
      </c>
      <c r="C10" s="15">
        <f>SUM(C4:C9)</f>
        <v/>
      </c>
    </row>
    <row r="11">
      <c r="A11" s="2" t="inlineStr">
        <is>
          <t>December run-rate, annualized</t>
        </is>
      </c>
      <c r="C11" s="15">
        <f>C9*12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24" customWidth="1" min="3" max="3"/>
  </cols>
  <sheetData>
    <row r="1" ht="24" customHeight="1">
      <c r="A1" s="1" t="inlineStr">
        <is>
          <t>KPI Dashboard — review weekly</t>
        </is>
      </c>
    </row>
    <row r="3">
      <c r="A3" s="11" t="inlineStr">
        <is>
          <t>Metric</t>
        </is>
      </c>
      <c r="B3" s="11" t="inlineStr">
        <is>
          <t>Why it matters</t>
        </is>
      </c>
      <c r="C3" s="11" t="inlineStr">
        <is>
          <t>Owner</t>
        </is>
      </c>
    </row>
    <row r="4">
      <c r="A4" s="17" t="inlineStr">
        <is>
          <t>Leads by source / referral sources active</t>
        </is>
      </c>
      <c r="B4" s="17" t="inlineStr">
        <is>
          <t>Top-of-funnel health</t>
        </is>
      </c>
      <c r="C4" s="17" t="inlineStr">
        <is>
          <t>Community Liaison</t>
        </is>
      </c>
    </row>
    <row r="5">
      <c r="A5" s="17" t="inlineStr">
        <is>
          <t>% pipeline with verified funding</t>
        </is>
      </c>
      <c r="B5" s="17" t="inlineStr">
        <is>
          <t>Predicts conversion</t>
        </is>
      </c>
      <c r="C5" s="17" t="inlineStr">
        <is>
          <t>Funding &amp; Intake desk</t>
        </is>
      </c>
    </row>
    <row r="6">
      <c r="A6" s="17" t="inlineStr">
        <is>
          <t>Funding approval rate</t>
        </is>
      </c>
      <c r="B6" s="17" t="inlineStr">
        <is>
          <t>Revenue capture</t>
        </is>
      </c>
      <c r="C6" s="17" t="inlineStr">
        <is>
          <t>Funding &amp; Intake desk</t>
        </is>
      </c>
    </row>
    <row r="7">
      <c r="A7" s="17" t="inlineStr">
        <is>
          <t>Funding approval cycle time (days)</t>
        </is>
      </c>
      <c r="B7" s="17" t="inlineStr">
        <is>
          <t>Speed = cash + hospital trust</t>
        </is>
      </c>
      <c r="C7" s="17" t="inlineStr">
        <is>
          <t>Funding &amp; Intake desk</t>
        </is>
      </c>
    </row>
    <row r="8">
      <c r="A8" s="17" t="inlineStr">
        <is>
          <t>Denials logged + recovered</t>
        </is>
      </c>
      <c r="B8" s="17" t="inlineStr">
        <is>
          <t>Recoverable revenue</t>
        </is>
      </c>
      <c r="C8" s="17" t="inlineStr">
        <is>
          <t>Billing / RCM</t>
        </is>
      </c>
    </row>
    <row r="9">
      <c r="A9" s="17" t="inlineStr">
        <is>
          <t>Units / month &amp; avg approved value (ASP)</t>
        </is>
      </c>
      <c r="B9" s="17" t="inlineStr">
        <is>
          <t>Core volume &amp; price</t>
        </is>
      </c>
      <c r="C9" s="17" t="inlineStr">
        <is>
          <t>Sales leads</t>
        </is>
      </c>
    </row>
    <row r="10">
      <c r="A10" s="17" t="inlineStr">
        <is>
          <t>Revenue by payer (ADP/ins/WSIB/VAC/NIHB/MOD)</t>
        </is>
      </c>
      <c r="B10" s="17" t="inlineStr">
        <is>
          <t>Channel mix</t>
        </is>
      </c>
      <c r="C10" s="17" t="inlineStr">
        <is>
          <t>Saeed</t>
        </is>
      </c>
    </row>
    <row r="11">
      <c r="A11" s="17" t="inlineStr">
        <is>
          <t>HVMP / accessibility jobs closed</t>
        </is>
      </c>
      <c r="B11" s="17" t="inlineStr">
        <is>
          <t>High-ticket lever (your catalog)</t>
        </is>
      </c>
      <c r="C11" s="17" t="inlineStr">
        <is>
          <t>Outside sales</t>
        </is>
      </c>
    </row>
    <row r="12">
      <c r="A12" s="17" t="inlineStr">
        <is>
          <t>Rental units deployed + utilization %</t>
        </is>
      </c>
      <c r="B12" s="17" t="inlineStr">
        <is>
          <t>Hospital-at-Home wedge</t>
        </is>
      </c>
      <c r="C12" s="17" t="inlineStr">
        <is>
          <t>Noura + Abdelrahman</t>
        </is>
      </c>
    </row>
    <row r="13">
      <c r="A13" s="17" t="inlineStr">
        <is>
          <t>Resupply / PM accounts</t>
        </is>
      </c>
      <c r="B13" s="17" t="inlineStr">
        <is>
          <t>Recurring base</t>
        </is>
      </c>
      <c r="C13" s="17" t="inlineStr">
        <is>
          <t>M. Hassany</t>
        </is>
      </c>
    </row>
    <row r="14">
      <c r="A14" s="17" t="inlineStr">
        <is>
          <t>Hospital / H2H sites active + SLA hit-rate</t>
        </is>
      </c>
      <c r="B14" s="17" t="inlineStr">
        <is>
          <t>Institutional growth</t>
        </is>
      </c>
      <c r="C14" s="17" t="inlineStr">
        <is>
          <t>M. Alyoussef</t>
        </is>
      </c>
    </row>
    <row r="15">
      <c r="A15" s="17" t="inlineStr">
        <is>
          <t>AR days / % direct-billed</t>
        </is>
      </c>
      <c r="B15" s="17" t="inlineStr">
        <is>
          <t>Cash flow</t>
        </is>
      </c>
      <c r="C15" s="17" t="inlineStr">
        <is>
          <t>Billing / RCM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2026-05-30T21:22:53Z</dcterms:created>
  <dcterms:modified xsi:type="dcterms:W3CDTF">2026-05-30T21:22:53Z</dcterms:modified>
</cp:coreProperties>
</file>