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mission Plans" sheetId="1" state="visible" r:id="rId1"/>
    <sheet xmlns:r="http://schemas.openxmlformats.org/officeDocument/2006/relationships" name="Commission Calculator" sheetId="2" state="visible" r:id="rId2"/>
    <sheet xmlns:r="http://schemas.openxmlformats.org/officeDocument/2006/relationships" name="Scorecard - Field" sheetId="3" state="visible" r:id="rId3"/>
    <sheet xmlns:r="http://schemas.openxmlformats.org/officeDocument/2006/relationships" name="Scorecard - Inbound" sheetId="4" state="visible" r:id="rId4"/>
    <sheet xmlns:r="http://schemas.openxmlformats.org/officeDocument/2006/relationships" name="Scorecard - Institutional" sheetId="5" state="visible" r:id="rId5"/>
    <sheet xmlns:r="http://schemas.openxmlformats.org/officeDocument/2006/relationships" name="Scorecard - Service-Sales" sheetId="6" state="visible" r:id="rId6"/>
    <sheet xmlns:r="http://schemas.openxmlformats.org/officeDocument/2006/relationships" name="Scorecard - Funding Desk" sheetId="7" state="visible" r:id="rId7"/>
    <sheet xmlns:r="http://schemas.openxmlformats.org/officeDocument/2006/relationships" name="Scorecard - Ops &amp; Technic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"/>
    <numFmt numFmtId="165" formatCode="0.0"/>
  </numFmts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55555"/>
      <sz val="9"/>
    </font>
    <font>
      <b val="1"/>
      <color rgb="00FFFFFF"/>
    </font>
    <font>
      <b val="1"/>
    </font>
    <font>
      <sz val="9.5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179E8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0" pivotButton="0" quotePrefix="0" xfId="0"/>
    <xf numFmtId="164" fontId="0" fillId="3" borderId="0" pivotButton="0" quotePrefix="0" xfId="0"/>
    <xf numFmtId="0" fontId="0" fillId="0" borderId="1" pivotButton="0" quotePrefix="0" xfId="0"/>
    <xf numFmtId="164" fontId="0" fillId="3" borderId="1" pivotButton="0" quotePrefix="0" xfId="0"/>
    <xf numFmtId="9" fontId="0" fillId="3" borderId="1" pivotButton="0" quotePrefix="0" xfId="0"/>
    <xf numFmtId="164" fontId="0" fillId="0" borderId="1" pivotButton="0" quotePrefix="0" xfId="0"/>
    <xf numFmtId="164" fontId="4" fillId="4" borderId="0" pivotButton="0" quotePrefix="0" xfId="0"/>
    <xf numFmtId="164" fontId="4" fillId="5" borderId="0" pivotButton="0" quotePrefix="0" xfId="0"/>
    <xf numFmtId="0" fontId="3" fillId="6" borderId="1" applyAlignment="1" pivotButton="0" quotePrefix="0" xfId="0">
      <alignment horizontal="center"/>
    </xf>
    <xf numFmtId="1" fontId="0" fillId="3" borderId="1" applyAlignment="1" pivotButton="0" quotePrefix="0" xfId="0">
      <alignment horizontal="center"/>
    </xf>
    <xf numFmtId="1" fontId="0" fillId="7" borderId="1" pivotButton="0" quotePrefix="0" xfId="0"/>
    <xf numFmtId="164" fontId="0" fillId="3" borderId="1" applyAlignment="1" pivotButton="0" quotePrefix="0" xfId="0">
      <alignment horizontal="center"/>
    </xf>
    <xf numFmtId="164" fontId="0" fillId="7" borderId="1" pivotButton="0" quotePrefix="0" xfId="0"/>
    <xf numFmtId="9" fontId="0" fillId="3" borderId="1" applyAlignment="1" pivotButton="0" quotePrefix="0" xfId="0">
      <alignment horizontal="center"/>
    </xf>
    <xf numFmtId="9" fontId="0" fillId="7" borderId="1" pivotButton="0" quotePrefix="0" xfId="0"/>
    <xf numFmtId="165" fontId="0" fillId="3" borderId="1" applyAlignment="1" pivotButton="0" quotePrefix="0" xfId="0">
      <alignment horizontal="center"/>
    </xf>
    <xf numFmtId="165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18" customWidth="1" min="4" max="4"/>
    <col width="46" customWidth="1" min="5" max="5"/>
  </cols>
  <sheetData>
    <row r="1" ht="22" customHeight="1">
      <c r="A1" s="1" t="inlineStr">
        <is>
          <t>Commission &amp; Incentive Plans (illustrative — adjust to your margins)</t>
        </is>
      </c>
    </row>
    <row r="2">
      <c r="A2" s="2" t="inlineStr">
        <is>
          <t>Variable pays on APPROVED/COLLECTED revenue, not quoted. Recurring is rewarded above one-time.</t>
        </is>
      </c>
    </row>
    <row r="4">
      <c r="A4" s="3" t="inlineStr">
        <is>
          <t>Role</t>
        </is>
      </c>
      <c r="B4" s="3" t="inlineStr">
        <is>
          <t>Base / month</t>
        </is>
      </c>
      <c r="C4" s="3" t="inlineStr">
        <is>
          <t>Variable basis</t>
        </is>
      </c>
      <c r="D4" s="3" t="inlineStr">
        <is>
          <t>Rate</t>
        </is>
      </c>
      <c r="E4" s="3" t="inlineStr">
        <is>
          <t>Accelerators &amp; bonuses</t>
        </is>
      </c>
    </row>
    <row r="5" ht="30" customHeight="1">
      <c r="A5" s="4" t="inlineStr">
        <is>
          <t>Field rep (Mamoun, M. Teskie, Moayed)</t>
        </is>
      </c>
      <c r="B5" s="5" t="inlineStr">
        <is>
          <t>$3,500-4,500</t>
        </is>
      </c>
      <c r="C5" s="5" t="inlineStr">
        <is>
          <t>Approved equipment revenue</t>
        </is>
      </c>
      <c r="D5" s="5" t="inlineStr">
        <is>
          <t>5%</t>
        </is>
      </c>
      <c r="E5" s="5" t="inlineStr">
        <is>
          <t>HVMP/accessibility &amp; complex-rehab 7-8%; +$250 first new-payer (WSIB/VAC/NIHB) deal/mo; team bonus on pod number</t>
        </is>
      </c>
    </row>
    <row r="6" ht="30" customHeight="1">
      <c r="A6" s="4" t="inlineStr">
        <is>
          <t>Inbound rep (Nourhan)</t>
        </is>
      </c>
      <c r="B6" s="5" t="inlineStr">
        <is>
          <t>$3,500-4,500</t>
        </is>
      </c>
      <c r="C6" s="5" t="inlineStr">
        <is>
          <t>Collected retail revenue</t>
        </is>
      </c>
      <c r="D6" s="5" t="inlineStr">
        <is>
          <t>3-4%</t>
        </is>
      </c>
      <c r="E6" s="5" t="inlineStr">
        <is>
          <t>Accessory-attach accelerator; web-assisted-sale spiff; spiff per funding-verified quote</t>
        </is>
      </c>
    </row>
    <row r="7" ht="30" customHeight="1">
      <c r="A7" s="4" t="inlineStr">
        <is>
          <t>Institutional (M. Alyoussef)</t>
        </is>
      </c>
      <c r="B7" s="5" t="inlineStr">
        <is>
          <t>$5,000-6,000</t>
        </is>
      </c>
      <c r="C7" s="5" t="inlineStr">
        <is>
          <t>Contract + recurring</t>
        </is>
      </c>
      <c r="D7" s="5" t="inlineStr">
        <is>
          <t>4% one-time / 6% recurring</t>
        </is>
      </c>
      <c r="E7" s="5" t="inlineStr">
        <is>
          <t>$500-1,000 per new hospital site or chain agreement; retention bonus on renewed PM</t>
        </is>
      </c>
    </row>
    <row r="8" ht="30" customHeight="1">
      <c r="A8" s="4" t="inlineStr">
        <is>
          <t>Service-Sales (M. Hassany)</t>
        </is>
      </c>
      <c r="B8" s="5" t="inlineStr">
        <is>
          <t>$4,000-5,000</t>
        </is>
      </c>
      <c r="C8" s="5" t="inlineStr">
        <is>
          <t>Recurring revenue</t>
        </is>
      </c>
      <c r="D8" s="5" t="inlineStr">
        <is>
          <t>8-10% recurring / 4% one-time</t>
        </is>
      </c>
      <c r="E8" s="5" t="inlineStr">
        <is>
          <t>Reactivation bonus; bonus for lifting recurring-revenue %</t>
        </is>
      </c>
    </row>
    <row r="9" ht="30" customHeight="1">
      <c r="A9" s="4" t="inlineStr">
        <is>
          <t>Funding &amp; Intake Desk</t>
        </is>
      </c>
      <c r="B9" s="5" t="inlineStr">
        <is>
          <t>$4,500-6,000</t>
        </is>
      </c>
      <c r="C9" s="5" t="inlineStr">
        <is>
          <t>Throughput bonus pool</t>
        </is>
      </c>
      <c r="D9" s="5" t="inlineStr">
        <is>
          <t>n/a (KPI bonus)</t>
        </is>
      </c>
      <c r="E9" s="5" t="inlineStr">
        <is>
          <t>Bonus on approval rate &gt;= target, cycle-time &lt;= target, $ unlocked, denials recovered</t>
        </is>
      </c>
    </row>
    <row r="10" ht="30" customHeight="1">
      <c r="A10" s="4" t="inlineStr">
        <is>
          <t>Demand Gen / Liaison</t>
        </is>
      </c>
      <c r="B10" s="5" t="inlineStr">
        <is>
          <t>$5,000-7,000</t>
        </is>
      </c>
      <c r="C10" s="5" t="inlineStr">
        <is>
          <t>Referral-sourced revenue</t>
        </is>
      </c>
      <c r="D10" s="5" t="inlineStr">
        <is>
          <t>bonus pool</t>
        </is>
      </c>
      <c r="E10" s="5" t="inlineStr">
        <is>
          <t>Bonus per active referral source + on referral-sourced revenue that converts; quarterly bonus</t>
        </is>
      </c>
    </row>
    <row r="11" ht="30" customHeight="1">
      <c r="A11" s="4" t="inlineStr">
        <is>
          <t>Delivery team (5)</t>
        </is>
      </c>
      <c r="B11" s="5" t="inlineStr">
        <is>
          <t>Hourly / salary</t>
        </is>
      </c>
      <c r="C11" s="5" t="inlineStr">
        <is>
          <t>Spiffs</t>
        </is>
      </c>
      <c r="D11" s="5" t="inlineStr">
        <is>
          <t>n/a</t>
        </is>
      </c>
      <c r="E11" s="5" t="inlineStr">
        <is>
          <t>$20-50 per upsell/reorder flag that converts; PM/setup pay for cross-trained; quality gate</t>
        </is>
      </c>
    </row>
    <row r="12" ht="30" customHeight="1">
      <c r="A12" s="4" t="inlineStr">
        <is>
          <t>Service/Technical (Abdelrahman + techs)</t>
        </is>
      </c>
      <c r="B12" s="5" t="inlineStr">
        <is>
          <t>$4,500-6,000</t>
        </is>
      </c>
      <c r="C12" s="5" t="inlineStr">
        <is>
          <t>Repair-billing + PM</t>
        </is>
      </c>
      <c r="D12" s="5" t="inlineStr">
        <is>
          <t>bonus pool</t>
        </is>
      </c>
      <c r="E12" s="5" t="inlineStr">
        <is>
          <t>Bonus on billable-repair capture %, PM completion, refurb output; rework/callback gate</t>
        </is>
      </c>
    </row>
    <row r="13" ht="30" customHeight="1">
      <c r="A13" s="4" t="inlineStr">
        <is>
          <t>Purchasing (Nabil)</t>
        </is>
      </c>
      <c r="B13" s="5" t="inlineStr">
        <is>
          <t>$4,500-6,000</t>
        </is>
      </c>
      <c r="C13" s="5" t="inlineStr">
        <is>
          <t>Margin</t>
        </is>
      </c>
      <c r="D13" s="5" t="inlineStr">
        <is>
          <t>n/a</t>
        </is>
      </c>
      <c r="E13" s="5" t="inlineStr">
        <is>
          <t>COGS-reduction bonus; stock-availability target</t>
        </is>
      </c>
    </row>
    <row r="14" ht="30" customHeight="1">
      <c r="A14" s="4" t="inlineStr">
        <is>
          <t>Operations (Noura)</t>
        </is>
      </c>
      <c r="B14" s="5" t="inlineStr">
        <is>
          <t>$5,000-6,500</t>
        </is>
      </c>
      <c r="C14" s="5" t="inlineStr">
        <is>
          <t>SLA + utilization + GM</t>
        </is>
      </c>
      <c r="D14" s="5" t="inlineStr">
        <is>
          <t>n/a</t>
        </is>
      </c>
      <c r="E14" s="5" t="inlineStr">
        <is>
          <t>Quarterly bonus on on-time %, rental utilization, gross margin</t>
        </is>
      </c>
    </row>
    <row r="16">
      <c r="A16" s="2" t="inlineStr">
        <is>
          <t>Company-wide bonus pool when monthly run-rate crosses $130k -&gt; $160k -&gt; $200k. Everyone rows together.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</cols>
  <sheetData>
    <row r="1" ht="22" customHeight="1">
      <c r="A1" s="1" t="inlineStr">
        <is>
          <t>Commission Calculator (edit yellow cells)</t>
        </is>
      </c>
    </row>
    <row r="2">
      <c r="A2" s="2" t="inlineStr">
        <is>
          <t>Example: a Field rep month. Change amounts and rates; payout recomputes.</t>
        </is>
      </c>
    </row>
    <row r="4">
      <c r="A4" s="6" t="inlineStr">
        <is>
          <t>Base salary (month)</t>
        </is>
      </c>
      <c r="B4" s="7" t="n">
        <v>4000</v>
      </c>
    </row>
    <row r="6">
      <c r="A6" s="3" t="inlineStr">
        <is>
          <t>Revenue category</t>
        </is>
      </c>
      <c r="B6" s="3" t="inlineStr">
        <is>
          <t>Approved/collected $</t>
        </is>
      </c>
      <c r="C6" s="3" t="inlineStr">
        <is>
          <t>Rate</t>
        </is>
      </c>
      <c r="D6" s="3" t="inlineStr">
        <is>
          <t>Commission</t>
        </is>
      </c>
    </row>
    <row r="7">
      <c r="A7" s="8" t="inlineStr">
        <is>
          <t>One-time equipment (ADP/insurance/self-pay)</t>
        </is>
      </c>
      <c r="B7" s="9" t="n">
        <v>20000</v>
      </c>
      <c r="C7" s="10" t="n">
        <v>0.05</v>
      </c>
      <c r="D7" s="11">
        <f>B7*C7</f>
        <v/>
      </c>
    </row>
    <row r="8">
      <c r="A8" s="8" t="inlineStr">
        <is>
          <t>HVMP / accessibility &amp; complex rehab</t>
        </is>
      </c>
      <c r="B8" s="9" t="n">
        <v>12000</v>
      </c>
      <c r="C8" s="10" t="n">
        <v>0.075</v>
      </c>
      <c r="D8" s="11">
        <f>B8*C8</f>
        <v/>
      </c>
    </row>
    <row r="9">
      <c r="A9" s="8" t="inlineStr">
        <is>
          <t>Recurring (PM / resupply / rental renewals)</t>
        </is>
      </c>
      <c r="B9" s="9" t="n">
        <v>5000</v>
      </c>
      <c r="C9" s="10" t="n">
        <v>0.09</v>
      </c>
      <c r="D9" s="11">
        <f>B9*C9</f>
        <v/>
      </c>
    </row>
    <row r="10">
      <c r="A10" s="8" t="inlineStr">
        <is>
          <t>Spiffs / bonuses (manual)</t>
        </is>
      </c>
      <c r="B10" s="9" t="n">
        <v>500</v>
      </c>
      <c r="D10" s="11">
        <f>B10</f>
        <v/>
      </c>
    </row>
    <row r="11">
      <c r="A11" s="6" t="inlineStr">
        <is>
          <t>Total commission + spiffs</t>
        </is>
      </c>
      <c r="D11" s="12">
        <f>SUM(D7:D10)</f>
        <v/>
      </c>
    </row>
    <row r="12">
      <c r="A12" s="6" t="inlineStr">
        <is>
          <t>TOTAL MONTHLY PAY (base + variable)</t>
        </is>
      </c>
      <c r="D12" s="13">
        <f>B4+D11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Field</t>
        </is>
      </c>
    </row>
    <row r="2">
      <c r="A2" s="2" t="inlineStr">
        <is>
          <t>Owner: Field reps (per rep) — Mamoun / M. Teskie / Moayed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In-home assessments booked</t>
        </is>
      </c>
      <c r="B5" s="15" t="n">
        <v>12</v>
      </c>
      <c r="C5" s="16" t="n"/>
      <c r="D5" s="16" t="n"/>
      <c r="E5" s="16" t="n"/>
      <c r="F5" s="16" t="n"/>
    </row>
    <row r="6">
      <c r="A6" s="8" t="inlineStr">
        <is>
          <t>Assessments completed</t>
        </is>
      </c>
      <c r="B6" s="15" t="n">
        <v>10</v>
      </c>
      <c r="C6" s="16" t="n"/>
      <c r="D6" s="16" t="n"/>
      <c r="E6" s="16" t="n"/>
      <c r="F6" s="16" t="n"/>
    </row>
    <row r="7">
      <c r="A7" s="8" t="inlineStr">
        <is>
          <t>Quotes issued</t>
        </is>
      </c>
      <c r="B7" s="15" t="n">
        <v>10</v>
      </c>
      <c r="C7" s="16" t="n"/>
      <c r="D7" s="16" t="n"/>
      <c r="E7" s="16" t="n"/>
      <c r="F7" s="16" t="n"/>
    </row>
    <row r="8">
      <c r="A8" s="8" t="inlineStr">
        <is>
          <t>Funded deals submitted to Funding Desk</t>
        </is>
      </c>
      <c r="B8" s="15" t="n">
        <v>8</v>
      </c>
      <c r="C8" s="16" t="n"/>
      <c r="D8" s="16" t="n"/>
      <c r="E8" s="16" t="n"/>
      <c r="F8" s="16" t="n"/>
    </row>
    <row r="9">
      <c r="A9" s="8" t="inlineStr">
        <is>
          <t>Deals approved / closed</t>
        </is>
      </c>
      <c r="B9" s="15" t="n">
        <v>6</v>
      </c>
      <c r="C9" s="16" t="n"/>
      <c r="D9" s="16" t="n"/>
      <c r="E9" s="16" t="n"/>
      <c r="F9" s="16" t="n"/>
    </row>
    <row r="10">
      <c r="A10" s="8" t="inlineStr">
        <is>
          <t>HVMP / accessibility jobs closed</t>
        </is>
      </c>
      <c r="B10" s="15" t="n">
        <v>2</v>
      </c>
      <c r="C10" s="16" t="n"/>
      <c r="D10" s="16" t="n"/>
      <c r="E10" s="16" t="n"/>
      <c r="F10" s="16" t="n"/>
    </row>
    <row r="11">
      <c r="A11" s="8" t="inlineStr">
        <is>
          <t>New-payer clients sourced (WSIB/VAC/NIHB)</t>
        </is>
      </c>
      <c r="B11" s="15" t="n">
        <v>1</v>
      </c>
      <c r="C11" s="16" t="n"/>
      <c r="D11" s="16" t="n"/>
      <c r="E11" s="16" t="n"/>
      <c r="F11" s="16" t="n"/>
    </row>
    <row r="12">
      <c r="A12" s="8" t="inlineStr">
        <is>
          <t>Revenue closed ($)</t>
        </is>
      </c>
      <c r="B12" s="17" t="n">
        <v>12000</v>
      </c>
      <c r="C12" s="18" t="n"/>
      <c r="D12" s="18" t="n"/>
      <c r="E12" s="18" t="n"/>
      <c r="F12" s="18" t="n"/>
    </row>
    <row r="13">
      <c r="A13" s="8" t="inlineStr">
        <is>
          <t>Avg approved value (ASP, $)</t>
        </is>
      </c>
      <c r="B13" s="17" t="n">
        <v>1800</v>
      </c>
      <c r="C13" s="18" t="n"/>
      <c r="D13" s="18" t="n"/>
      <c r="E13" s="18" t="n"/>
      <c r="F13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Inbound</t>
        </is>
      </c>
    </row>
    <row r="2">
      <c r="A2" s="2" t="inlineStr">
        <is>
          <t>Owner: Nourhan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Inbound calls / web leads handled</t>
        </is>
      </c>
      <c r="B5" s="15" t="n">
        <v>60</v>
      </c>
      <c r="C5" s="16" t="n"/>
      <c r="D5" s="16" t="n"/>
      <c r="E5" s="16" t="n"/>
      <c r="F5" s="16" t="n"/>
    </row>
    <row r="6">
      <c r="A6" s="8" t="inlineStr">
        <is>
          <t>Speed-to-lead (minutes, target &lt;5)</t>
        </is>
      </c>
      <c r="B6" s="15" t="n">
        <v>5</v>
      </c>
      <c r="C6" s="16" t="n"/>
      <c r="D6" s="16" t="n"/>
      <c r="E6" s="16" t="n"/>
      <c r="F6" s="16" t="n"/>
    </row>
    <row r="7">
      <c r="A7" s="8" t="inlineStr">
        <is>
          <t>Quotes issued</t>
        </is>
      </c>
      <c r="B7" s="15" t="n">
        <v>30</v>
      </c>
      <c r="C7" s="16" t="n"/>
      <c r="D7" s="16" t="n"/>
      <c r="E7" s="16" t="n"/>
      <c r="F7" s="16" t="n"/>
    </row>
    <row r="8">
      <c r="A8" s="8" t="inlineStr">
        <is>
          <t>% quotes funding-verified</t>
        </is>
      </c>
      <c r="B8" s="19" t="n">
        <v>0.9</v>
      </c>
      <c r="C8" s="20" t="n"/>
      <c r="D8" s="20" t="n"/>
      <c r="E8" s="20" t="n"/>
      <c r="F8" s="20" t="n"/>
    </row>
    <row r="9">
      <c r="A9" s="8" t="inlineStr">
        <is>
          <t>Sales closed (#)</t>
        </is>
      </c>
      <c r="B9" s="15" t="n">
        <v>18</v>
      </c>
      <c r="C9" s="16" t="n"/>
      <c r="D9" s="16" t="n"/>
      <c r="E9" s="16" t="n"/>
      <c r="F9" s="16" t="n"/>
    </row>
    <row r="10">
      <c r="A10" s="8" t="inlineStr">
        <is>
          <t>Close rate %</t>
        </is>
      </c>
      <c r="B10" s="19" t="n">
        <v>0.35</v>
      </c>
      <c r="C10" s="20" t="n"/>
      <c r="D10" s="20" t="n"/>
      <c r="E10" s="20" t="n"/>
      <c r="F10" s="20" t="n"/>
    </row>
    <row r="11">
      <c r="A11" s="8" t="inlineStr">
        <is>
          <t>Accessory attach rate %</t>
        </is>
      </c>
      <c r="B11" s="19" t="n">
        <v>0.6</v>
      </c>
      <c r="C11" s="20" t="n"/>
      <c r="D11" s="20" t="n"/>
      <c r="E11" s="20" t="n"/>
      <c r="F11" s="20" t="n"/>
    </row>
    <row r="12">
      <c r="A12" s="8" t="inlineStr">
        <is>
          <t>Web-store revenue ($)</t>
        </is>
      </c>
      <c r="B12" s="17" t="n">
        <v>4000</v>
      </c>
      <c r="C12" s="18" t="n"/>
      <c r="D12" s="18" t="n"/>
      <c r="E12" s="18" t="n"/>
      <c r="F12" s="18" t="n"/>
    </row>
    <row r="13">
      <c r="A13" s="8" t="inlineStr">
        <is>
          <t>Revenue closed ($)</t>
        </is>
      </c>
      <c r="B13" s="17" t="n">
        <v>10000</v>
      </c>
      <c r="C13" s="18" t="n"/>
      <c r="D13" s="18" t="n"/>
      <c r="E13" s="18" t="n"/>
      <c r="F13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Institutional</t>
        </is>
      </c>
    </row>
    <row r="2">
      <c r="A2" s="2" t="inlineStr">
        <is>
          <t>Owner: Mohamed Alyoussef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Outreach meetings (hospitals/homes)</t>
        </is>
      </c>
      <c r="B5" s="15" t="n">
        <v>10</v>
      </c>
      <c r="C5" s="16" t="n"/>
      <c r="D5" s="16" t="n"/>
      <c r="E5" s="16" t="n"/>
      <c r="F5" s="16" t="n"/>
    </row>
    <row r="6">
      <c r="A6" s="8" t="inlineStr">
        <is>
          <t>Hospital / H2H sites active</t>
        </is>
      </c>
      <c r="B6" s="15" t="n">
        <v>3</v>
      </c>
      <c r="C6" s="16" t="n"/>
      <c r="D6" s="16" t="n"/>
      <c r="E6" s="16" t="n"/>
      <c r="F6" s="16" t="n"/>
    </row>
    <row r="7">
      <c r="A7" s="8" t="inlineStr">
        <is>
          <t>Rental units deployed (cumulative)</t>
        </is>
      </c>
      <c r="B7" s="15" t="n">
        <v>35</v>
      </c>
      <c r="C7" s="16" t="n"/>
      <c r="D7" s="16" t="n"/>
      <c r="E7" s="16" t="n"/>
      <c r="F7" s="16" t="n"/>
    </row>
    <row r="8">
      <c r="A8" s="8" t="inlineStr">
        <is>
          <t>Rental utilization %</t>
        </is>
      </c>
      <c r="B8" s="19" t="n">
        <v>0.8</v>
      </c>
      <c r="C8" s="20" t="n"/>
      <c r="D8" s="20" t="n"/>
      <c r="E8" s="20" t="n"/>
      <c r="F8" s="20" t="n"/>
    </row>
    <row r="9">
      <c r="A9" s="8" t="inlineStr">
        <is>
          <t>Contracts / agreements signed</t>
        </is>
      </c>
      <c r="B9" s="15" t="n">
        <v>1</v>
      </c>
      <c r="C9" s="16" t="n"/>
      <c r="D9" s="16" t="n"/>
      <c r="E9" s="16" t="n"/>
      <c r="F9" s="16" t="n"/>
    </row>
    <row r="10">
      <c r="A10" s="8" t="inlineStr">
        <is>
          <t>PM contracts signed</t>
        </is>
      </c>
      <c r="B10" s="15" t="n">
        <v>1</v>
      </c>
      <c r="C10" s="16" t="n"/>
      <c r="D10" s="16" t="n"/>
      <c r="E10" s="16" t="n"/>
      <c r="F10" s="16" t="n"/>
    </row>
    <row r="11">
      <c r="A11" s="8" t="inlineStr">
        <is>
          <t>Clinic days booked</t>
        </is>
      </c>
      <c r="B11" s="15" t="n">
        <v>1</v>
      </c>
      <c r="C11" s="16" t="n"/>
      <c r="D11" s="16" t="n"/>
      <c r="E11" s="16" t="n"/>
      <c r="F11" s="16" t="n"/>
    </row>
    <row r="12">
      <c r="A12" s="8" t="inlineStr">
        <is>
          <t>Revenue (rental + contract, $)</t>
        </is>
      </c>
      <c r="B12" s="17" t="n">
        <v>12000</v>
      </c>
      <c r="C12" s="18" t="n"/>
      <c r="D12" s="18" t="n"/>
      <c r="E12" s="18" t="n"/>
      <c r="F12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Service-Sales</t>
        </is>
      </c>
    </row>
    <row r="2">
      <c r="A2" s="2" t="inlineStr">
        <is>
          <t>Owner: Mohamed Hassany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Reactivation calls made</t>
        </is>
      </c>
      <c r="B5" s="15" t="n">
        <v>80</v>
      </c>
      <c r="C5" s="16" t="n"/>
      <c r="D5" s="16" t="n"/>
      <c r="E5" s="16" t="n"/>
      <c r="F5" s="16" t="n"/>
    </row>
    <row r="6">
      <c r="A6" s="8" t="inlineStr">
        <is>
          <t>Reactivation -&gt; sale (#)</t>
        </is>
      </c>
      <c r="B6" s="15" t="n">
        <v>10</v>
      </c>
      <c r="C6" s="16" t="n"/>
      <c r="D6" s="16" t="n"/>
      <c r="E6" s="16" t="n"/>
      <c r="F6" s="16" t="n"/>
    </row>
    <row r="7">
      <c r="A7" s="8" t="inlineStr">
        <is>
          <t>Resupply subscribers added</t>
        </is>
      </c>
      <c r="B7" s="15" t="n">
        <v>15</v>
      </c>
      <c r="C7" s="16" t="n"/>
      <c r="D7" s="16" t="n"/>
      <c r="E7" s="16" t="n"/>
      <c r="F7" s="16" t="n"/>
    </row>
    <row r="8">
      <c r="A8" s="8" t="inlineStr">
        <is>
          <t>PM contracts sold</t>
        </is>
      </c>
      <c r="B8" s="15" t="n">
        <v>3</v>
      </c>
      <c r="C8" s="16" t="n"/>
      <c r="D8" s="16" t="n"/>
      <c r="E8" s="16" t="n"/>
      <c r="F8" s="16" t="n"/>
    </row>
    <row r="9">
      <c r="A9" s="8" t="inlineStr">
        <is>
          <t>Rental renewals (#)</t>
        </is>
      </c>
      <c r="B9" s="15" t="n">
        <v>10</v>
      </c>
      <c r="C9" s="16" t="n"/>
      <c r="D9" s="16" t="n"/>
      <c r="E9" s="16" t="n"/>
      <c r="F9" s="16" t="n"/>
    </row>
    <row r="10">
      <c r="A10" s="8" t="inlineStr">
        <is>
          <t>Repair-billing captured ($)</t>
        </is>
      </c>
      <c r="B10" s="17" t="n">
        <v>3000</v>
      </c>
      <c r="C10" s="18" t="n"/>
      <c r="D10" s="18" t="n"/>
      <c r="E10" s="18" t="n"/>
      <c r="F10" s="18" t="n"/>
    </row>
    <row r="11">
      <c r="A11" s="8" t="inlineStr">
        <is>
          <t>Recurring revenue % (drive up)</t>
        </is>
      </c>
      <c r="B11" s="19" t="n">
        <v>0.35</v>
      </c>
      <c r="C11" s="20" t="n"/>
      <c r="D11" s="20" t="n"/>
      <c r="E11" s="20" t="n"/>
      <c r="F11" s="20" t="n"/>
    </row>
    <row r="12">
      <c r="A12" s="8" t="inlineStr">
        <is>
          <t>Revenue ($)</t>
        </is>
      </c>
      <c r="B12" s="17" t="n">
        <v>12000</v>
      </c>
      <c r="C12" s="18" t="n"/>
      <c r="D12" s="18" t="n"/>
      <c r="E12" s="18" t="n"/>
      <c r="F12" s="18" t="n"/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Funding Desk</t>
        </is>
      </c>
    </row>
    <row r="2">
      <c r="A2" s="2" t="inlineStr">
        <is>
          <t>Owner: Funding &amp; Intake + RCM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New intakes triaged</t>
        </is>
      </c>
      <c r="B5" s="15" t="n">
        <v>40</v>
      </c>
      <c r="C5" s="16" t="n"/>
      <c r="D5" s="16" t="n"/>
      <c r="E5" s="16" t="n"/>
      <c r="F5" s="16" t="n"/>
    </row>
    <row r="6">
      <c r="A6" s="8" t="inlineStr">
        <is>
          <t>% pipeline funding-verified</t>
        </is>
      </c>
      <c r="B6" s="19" t="n">
        <v>0.95</v>
      </c>
      <c r="C6" s="20" t="n"/>
      <c r="D6" s="20" t="n"/>
      <c r="E6" s="20" t="n"/>
      <c r="F6" s="20" t="n"/>
    </row>
    <row r="7">
      <c r="A7" s="8" t="inlineStr">
        <is>
          <t>Predeterminations submitted</t>
        </is>
      </c>
      <c r="B7" s="15" t="n">
        <v>20</v>
      </c>
      <c r="C7" s="16" t="n"/>
      <c r="D7" s="16" t="n"/>
      <c r="E7" s="16" t="n"/>
      <c r="F7" s="16" t="n"/>
    </row>
    <row r="8">
      <c r="A8" s="8" t="inlineStr">
        <is>
          <t>Approvals received</t>
        </is>
      </c>
      <c r="B8" s="15" t="n">
        <v>25</v>
      </c>
      <c r="C8" s="16" t="n"/>
      <c r="D8" s="16" t="n"/>
      <c r="E8" s="16" t="n"/>
      <c r="F8" s="16" t="n"/>
    </row>
    <row r="9">
      <c r="A9" s="8" t="inlineStr">
        <is>
          <t>Approval rate %</t>
        </is>
      </c>
      <c r="B9" s="19" t="n">
        <v>0.8</v>
      </c>
      <c r="C9" s="20" t="n"/>
      <c r="D9" s="20" t="n"/>
      <c r="E9" s="20" t="n"/>
      <c r="F9" s="20" t="n"/>
    </row>
    <row r="10">
      <c r="A10" s="8" t="inlineStr">
        <is>
          <t>Avg approval cycle time (days, drive down)</t>
        </is>
      </c>
      <c r="B10" s="21" t="n">
        <v>7</v>
      </c>
      <c r="C10" s="22" t="n"/>
      <c r="D10" s="22" t="n"/>
      <c r="E10" s="22" t="n"/>
      <c r="F10" s="22" t="n"/>
    </row>
    <row r="11">
      <c r="A11" s="8" t="inlineStr">
        <is>
          <t>$ unlocked</t>
        </is>
      </c>
      <c r="B11" s="17" t="n">
        <v>45000</v>
      </c>
      <c r="C11" s="18" t="n"/>
      <c r="D11" s="18" t="n"/>
      <c r="E11" s="18" t="n"/>
      <c r="F11" s="18" t="n"/>
    </row>
    <row r="12">
      <c r="A12" s="8" t="inlineStr">
        <is>
          <t>Denials recovered ($)</t>
        </is>
      </c>
      <c r="B12" s="17" t="n">
        <v>2000</v>
      </c>
      <c r="C12" s="18" t="n"/>
      <c r="D12" s="18" t="n"/>
      <c r="E12" s="18" t="n"/>
      <c r="F12" s="18" t="n"/>
    </row>
    <row r="13">
      <c r="A13" s="8" t="inlineStr">
        <is>
          <t>AR days</t>
        </is>
      </c>
      <c r="B13" s="21" t="n">
        <v>30</v>
      </c>
      <c r="C13" s="22" t="n"/>
      <c r="D13" s="22" t="n"/>
      <c r="E13" s="22" t="n"/>
      <c r="F13" s="22" t="n"/>
    </row>
  </sheetData>
  <mergeCells count="2">
    <mergeCell ref="A2:G2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 ht="22" customHeight="1">
      <c r="A1" s="1" t="inlineStr">
        <is>
          <t>Weekly Scorecard — Ops &amp; Technical</t>
        </is>
      </c>
    </row>
    <row r="2">
      <c r="A2" s="2" t="inlineStr">
        <is>
          <t>Owner: Noura / Nabil / Abdelrahman + delivery  •  fill the yellow weekly cells; set your own weekly targets</t>
        </is>
      </c>
    </row>
    <row r="4">
      <c r="A4" s="14" t="inlineStr">
        <is>
          <t>Metric</t>
        </is>
      </c>
      <c r="B4" s="14" t="inlineStr">
        <is>
          <t>Weekly target</t>
        </is>
      </c>
      <c r="C4" s="14" t="inlineStr">
        <is>
          <t>Wk 1</t>
        </is>
      </c>
      <c r="D4" s="14" t="inlineStr">
        <is>
          <t>Wk 2</t>
        </is>
      </c>
      <c r="E4" s="14" t="inlineStr">
        <is>
          <t>Wk 3</t>
        </is>
      </c>
      <c r="F4" s="14" t="inlineStr">
        <is>
          <t>Wk 4</t>
        </is>
      </c>
    </row>
    <row r="5">
      <c r="A5" s="8" t="inlineStr">
        <is>
          <t>On-time delivery &amp; setup %</t>
        </is>
      </c>
      <c r="B5" s="19" t="n">
        <v>0.95</v>
      </c>
      <c r="C5" s="20" t="n"/>
      <c r="D5" s="20" t="n"/>
      <c r="E5" s="20" t="n"/>
      <c r="F5" s="20" t="n"/>
    </row>
    <row r="6">
      <c r="A6" s="8" t="inlineStr">
        <is>
          <t>Fulfillment cycle time (days)</t>
        </is>
      </c>
      <c r="B6" s="21" t="n">
        <v>2</v>
      </c>
      <c r="C6" s="22" t="n"/>
      <c r="D6" s="22" t="n"/>
      <c r="E6" s="22" t="n"/>
      <c r="F6" s="22" t="n"/>
    </row>
    <row r="7">
      <c r="A7" s="8" t="inlineStr">
        <is>
          <t>Rental fleet utilization %</t>
        </is>
      </c>
      <c r="B7" s="19" t="n">
        <v>0.8</v>
      </c>
      <c r="C7" s="20" t="n"/>
      <c r="D7" s="20" t="n"/>
      <c r="E7" s="20" t="n"/>
      <c r="F7" s="20" t="n"/>
    </row>
    <row r="8">
      <c r="A8" s="8" t="inlineStr">
        <is>
          <t>Inventory availability %</t>
        </is>
      </c>
      <c r="B8" s="19" t="n">
        <v>0.97</v>
      </c>
      <c r="C8" s="20" t="n"/>
      <c r="D8" s="20" t="n"/>
      <c r="E8" s="20" t="n"/>
      <c r="F8" s="20" t="n"/>
    </row>
    <row r="9">
      <c r="A9" s="8" t="inlineStr">
        <is>
          <t>Repairs billed ($)</t>
        </is>
      </c>
      <c r="B9" s="17" t="n">
        <v>4000</v>
      </c>
      <c r="C9" s="18" t="n"/>
      <c r="D9" s="18" t="n"/>
      <c r="E9" s="18" t="n"/>
      <c r="F9" s="18" t="n"/>
    </row>
    <row r="10">
      <c r="A10" s="8" t="inlineStr">
        <is>
          <t>PM visits completed</t>
        </is>
      </c>
      <c r="B10" s="15" t="n">
        <v>20</v>
      </c>
      <c r="C10" s="16" t="n"/>
      <c r="D10" s="16" t="n"/>
      <c r="E10" s="16" t="n"/>
      <c r="F10" s="16" t="n"/>
    </row>
    <row r="11">
      <c r="A11" s="8" t="inlineStr">
        <is>
          <t>Refurb units resold</t>
        </is>
      </c>
      <c r="B11" s="15" t="n">
        <v>5</v>
      </c>
      <c r="C11" s="16" t="n"/>
      <c r="D11" s="16" t="n"/>
      <c r="E11" s="16" t="n"/>
      <c r="F11" s="16" t="n"/>
    </row>
    <row r="12">
      <c r="A12" s="8" t="inlineStr">
        <is>
          <t>Driver upsell flags (converted)</t>
        </is>
      </c>
      <c r="B12" s="15" t="n">
        <v>10</v>
      </c>
      <c r="C12" s="16" t="n"/>
      <c r="D12" s="16" t="n"/>
      <c r="E12" s="16" t="n"/>
      <c r="F12" s="16" t="n"/>
    </row>
    <row r="13">
      <c r="A13" s="8" t="inlineStr">
        <is>
          <t>Gross margin %</t>
        </is>
      </c>
      <c r="B13" s="19" t="n">
        <v>0.4</v>
      </c>
      <c r="C13" s="20" t="n"/>
      <c r="D13" s="20" t="n"/>
      <c r="E13" s="20" t="n"/>
      <c r="F13" s="20" t="n"/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2026-05-30T22:05:56Z</dcterms:created>
  <dcterms:modified xmlns:dcterms="http://purl.org/dc/terms/" xmlns:xsi="http://www.w3.org/2001/XMLSchema-instance" xsi:type="dcterms:W3CDTF">2026-05-30T22:05:56Z</dcterms:modified>
</cp:coreProperties>
</file>